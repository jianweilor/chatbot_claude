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8038eab5f0a19/Desktop/SgCarMart/TCO_calculator/"/>
    </mc:Choice>
  </mc:AlternateContent>
  <xr:revisionPtr revIDLastSave="4" documentId="8_{4EE6106F-EA27-435E-9353-EE02753475BF}" xr6:coauthVersionLast="47" xr6:coauthVersionMax="47" xr10:uidLastSave="{C124E65E-ADDC-4EFB-9CF7-011AFA17C8D0}"/>
  <bookViews>
    <workbookView minimized="1" xWindow="2573" yWindow="2573" windowWidth="14399" windowHeight="8182" xr2:uid="{2B17DF3D-5994-408F-991A-AFA94E8197AE}"/>
  </bookViews>
  <sheets>
    <sheet name="Sedan (CAT B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2" l="1"/>
  <c r="C28" i="2" s="1"/>
  <c r="O9" i="2"/>
  <c r="N9" i="2"/>
  <c r="M9" i="2"/>
  <c r="L9" i="2"/>
  <c r="K9" i="2"/>
  <c r="J9" i="2"/>
  <c r="I9" i="2"/>
  <c r="H9" i="2"/>
  <c r="H8" i="2"/>
  <c r="O7" i="2"/>
  <c r="C55" i="2" s="1"/>
  <c r="N7" i="2"/>
  <c r="C48" i="2" s="1"/>
  <c r="M7" i="2"/>
  <c r="C41" i="2" s="1"/>
  <c r="L7" i="2"/>
  <c r="C34" i="2" s="1"/>
  <c r="K7" i="2"/>
  <c r="K10" i="2" s="1"/>
  <c r="K11" i="2" s="1"/>
  <c r="J7" i="2"/>
  <c r="C20" i="2" s="1"/>
  <c r="I7" i="2"/>
  <c r="I10" i="2" s="1"/>
  <c r="I11" i="2" s="1"/>
  <c r="H7" i="2"/>
  <c r="H10" i="2" s="1"/>
  <c r="H11" i="2" s="1"/>
  <c r="C6" i="2"/>
  <c r="C42" i="2" l="1"/>
  <c r="C7" i="2"/>
  <c r="L10" i="2"/>
  <c r="L11" i="2" s="1"/>
  <c r="M10" i="2"/>
  <c r="M11" i="2" s="1"/>
  <c r="N10" i="2"/>
  <c r="N11" i="2" s="1"/>
  <c r="O10" i="2"/>
  <c r="O11" i="2" s="1"/>
  <c r="C43" i="2"/>
  <c r="C44" i="2" s="1"/>
  <c r="C49" i="2"/>
  <c r="C56" i="2"/>
  <c r="C57" i="2"/>
  <c r="C35" i="2"/>
  <c r="J10" i="2"/>
  <c r="J11" i="2" s="1"/>
  <c r="C50" i="2"/>
  <c r="C13" i="2"/>
  <c r="C8" i="2"/>
  <c r="C9" i="2" s="1"/>
  <c r="C14" i="2"/>
  <c r="C21" i="2"/>
  <c r="C27" i="2"/>
  <c r="C58" i="2" l="1"/>
  <c r="C51" i="2"/>
  <c r="C29" i="2"/>
  <c r="C30" i="2"/>
  <c r="C15" i="2"/>
  <c r="C16" i="2" s="1"/>
  <c r="C36" i="2"/>
  <c r="C37" i="2" s="1"/>
  <c r="C22" i="2"/>
  <c r="C23" i="2" s="1"/>
</calcChain>
</file>

<file path=xl/sharedStrings.xml><?xml version="1.0" encoding="utf-8"?>
<sst xmlns="http://schemas.openxmlformats.org/spreadsheetml/2006/main" count="106" uniqueCount="44">
  <si>
    <t>CAPITAL COST PROJECTION FOR Sedan(CAT B) caa 22 July 2026</t>
  </si>
  <si>
    <t>S/N</t>
  </si>
  <si>
    <t>Description</t>
  </si>
  <si>
    <t>Price</t>
  </si>
  <si>
    <t>Remarks</t>
  </si>
  <si>
    <t>Car Price Estimation</t>
  </si>
  <si>
    <t xml:space="preserve">Dongfeng 007 Electric </t>
  </si>
  <si>
    <t xml:space="preserve">Tesla Model 3 Electric </t>
  </si>
  <si>
    <t>BYD Seal Electric</t>
  </si>
  <si>
    <t>IM 5 EV</t>
  </si>
  <si>
    <t>Mercedes-Benz CLA Electric</t>
  </si>
  <si>
    <t>BMW i4 Gran Coupe Electric</t>
  </si>
  <si>
    <t>Volvo ES90 Electric</t>
  </si>
  <si>
    <t>BMW i5 Electric</t>
  </si>
  <si>
    <t>Dongfeng 007 Electric  - Marked</t>
  </si>
  <si>
    <t>Price Listed on SCM</t>
  </si>
  <si>
    <t>Marked Vehicle</t>
  </si>
  <si>
    <t>a. Vehicle Price (w/o COE) and adding a 30% buffer): 
b. Exclude VES and EEAI rebates 
c. COE (taking peak value for last 2 years and adding 20% buffer)</t>
  </si>
  <si>
    <t>Less COE Price</t>
  </si>
  <si>
    <t xml:space="preserve">Integration of Accessroies (e.g. Livery, lightbar, blinker lights, PA system, Siren, Mobile Radio Set integration cost, etc.) to be fitted </t>
  </si>
  <si>
    <t>Reference to LOA No. MHA00004000008320 signed on May 23, including 20% buffer</t>
  </si>
  <si>
    <t>Car Price (w/o COE, +30% buffer)</t>
  </si>
  <si>
    <t>Contingency Sum 
(5% of s/n 4 and 5)</t>
  </si>
  <si>
    <t>Exclude VES and EEAI rebate</t>
  </si>
  <si>
    <t>Total (s/n 4 to 6)</t>
  </si>
  <si>
    <t>COE Price (24mth-peak + 20% buffer)</t>
  </si>
  <si>
    <t>Total without conti</t>
  </si>
  <si>
    <t>Include 5% conti</t>
  </si>
  <si>
    <t>Tesla Model 3 Electric  - Marked</t>
  </si>
  <si>
    <t>Integration of Accessroies (Livery, lightbar, blinker lights, PA system, Siren, Mobile Radio Set integration cost, etc.) to be fitted</t>
  </si>
  <si>
    <t>BYD Seal Electric - Marked</t>
  </si>
  <si>
    <t>IM 5 EV - Marked</t>
  </si>
  <si>
    <t>Mercedes-Benz CLA Electric - Marked</t>
  </si>
  <si>
    <t>Notes in red to be removed in final version</t>
  </si>
  <si>
    <t>Accessories for Marked Car</t>
  </si>
  <si>
    <t xml:space="preserve">Price </t>
  </si>
  <si>
    <t>Price Reference from 2-Cage Dog Transporter</t>
  </si>
  <si>
    <t>BMW i4 Gran Coupe Electric - Marked</t>
  </si>
  <si>
    <t>Lights and Siren</t>
  </si>
  <si>
    <t>Electricial Installation</t>
  </si>
  <si>
    <t xml:space="preserve">Livery </t>
  </si>
  <si>
    <t>Volvo ES90 Electric - Marked</t>
  </si>
  <si>
    <t>Total (include 20% buffer)</t>
  </si>
  <si>
    <t>BMW i5 Electric - Marked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</si>
</sst>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81643</xdr:colOff>
      <xdr:row>18</xdr:row>
      <xdr:rowOff>40821</xdr:rowOff>
    </xdr:from>
    <xdr:to>
      <xdr:col>8</xdr:col>
      <xdr:colOff>3447369</xdr:colOff>
      <xdr:row>26</xdr:row>
      <xdr:rowOff>459264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B7DD1-5278-4156-9168-44267416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7481" y="11718471"/>
          <a:ext cx="3360964" cy="2785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51B7-8DD9-43EF-809E-C26A4FBB96D9}">
  <dimension ref="A1:P109"/>
  <sheetViews>
    <sheetView tabSelected="1" zoomScale="49" zoomScaleNormal="85" workbookViewId="0">
      <selection activeCell="I14" sqref="I14"/>
    </sheetView>
  </sheetViews>
  <sheetFormatPr defaultColWidth="9.1328125" defaultRowHeight="14.25" x14ac:dyDescent="0.45"/>
  <cols>
    <col min="1" max="1" width="8.59765625" customWidth="1"/>
    <col min="2" max="2" width="45.59765625" customWidth="1"/>
    <col min="3" max="3" width="14.3984375" style="2" customWidth="1"/>
    <col min="4" max="4" width="50.59765625" customWidth="1"/>
    <col min="5" max="5" width="19.3984375" customWidth="1"/>
    <col min="6" max="6" width="17.59765625" style="31" hidden="1" customWidth="1"/>
    <col min="7" max="7" width="37.3984375" bestFit="1" customWidth="1"/>
    <col min="8" max="8" width="51.1328125" customWidth="1"/>
    <col min="9" max="9" width="55.3984375" bestFit="1" customWidth="1"/>
    <col min="10" max="15" width="47.86328125" customWidth="1"/>
    <col min="16" max="16" width="16.59765625" customWidth="1"/>
    <col min="17" max="17" width="21.86328125" customWidth="1"/>
    <col min="19" max="19" width="20.1328125" customWidth="1"/>
    <col min="20" max="20" width="27.59765625" customWidth="1"/>
    <col min="24" max="24" width="12" bestFit="1" customWidth="1"/>
  </cols>
  <sheetData>
    <row r="1" spans="1:15" x14ac:dyDescent="0.45">
      <c r="A1" s="1" t="s">
        <v>0</v>
      </c>
      <c r="E1" s="3"/>
      <c r="F1" s="4"/>
      <c r="G1" s="2"/>
      <c r="H1" s="2"/>
    </row>
    <row r="2" spans="1:15" x14ac:dyDescent="0.45">
      <c r="A2" s="1"/>
      <c r="E2" s="3"/>
      <c r="F2" s="4"/>
    </row>
    <row r="3" spans="1:15" x14ac:dyDescent="0.45">
      <c r="A3" s="1"/>
      <c r="E3" s="3"/>
      <c r="F3" s="4"/>
      <c r="G3" s="2"/>
      <c r="H3" s="2"/>
    </row>
    <row r="4" spans="1:15" x14ac:dyDescent="0.45">
      <c r="A4" s="5" t="s">
        <v>1</v>
      </c>
      <c r="B4" s="6" t="s">
        <v>2</v>
      </c>
      <c r="C4" s="5" t="s">
        <v>3</v>
      </c>
      <c r="D4" s="7" t="s">
        <v>4</v>
      </c>
      <c r="E4" s="3"/>
      <c r="F4" s="4"/>
      <c r="G4" s="8" t="s">
        <v>5</v>
      </c>
      <c r="H4" s="8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  <c r="N4" s="9" t="s">
        <v>12</v>
      </c>
      <c r="O4" s="9" t="s">
        <v>13</v>
      </c>
    </row>
    <row r="5" spans="1:15" x14ac:dyDescent="0.45">
      <c r="A5" s="35" t="s">
        <v>14</v>
      </c>
      <c r="B5" s="36"/>
      <c r="C5" s="36"/>
      <c r="D5" s="37"/>
      <c r="E5" s="3"/>
      <c r="F5" s="4"/>
      <c r="G5" s="13" t="s">
        <v>15</v>
      </c>
      <c r="H5" s="14">
        <v>219888</v>
      </c>
      <c r="I5" s="14">
        <v>222999</v>
      </c>
      <c r="J5" s="14">
        <v>221388</v>
      </c>
      <c r="K5" s="14">
        <v>271888</v>
      </c>
      <c r="L5" s="14">
        <v>286888</v>
      </c>
      <c r="M5" s="14">
        <v>366888</v>
      </c>
      <c r="N5" s="14">
        <v>360000</v>
      </c>
      <c r="O5" s="14">
        <v>431888</v>
      </c>
    </row>
    <row r="6" spans="1:15" s="17" customFormat="1" ht="42.75" x14ac:dyDescent="0.45">
      <c r="A6" s="13">
        <v>4</v>
      </c>
      <c r="B6" s="15" t="s">
        <v>16</v>
      </c>
      <c r="C6" s="16">
        <f>H7+H8</f>
        <v>145698.70000000001</v>
      </c>
      <c r="D6" s="15" t="s">
        <v>17</v>
      </c>
      <c r="F6" s="18"/>
      <c r="G6" s="13" t="s">
        <v>18</v>
      </c>
      <c r="H6" s="14">
        <v>130889</v>
      </c>
      <c r="I6" s="14">
        <v>130889</v>
      </c>
      <c r="J6" s="14">
        <v>130889</v>
      </c>
      <c r="K6" s="14">
        <v>130889</v>
      </c>
      <c r="L6" s="14">
        <v>130889</v>
      </c>
      <c r="M6" s="14">
        <v>130889</v>
      </c>
      <c r="N6" s="14">
        <v>130889</v>
      </c>
      <c r="O6" s="14">
        <v>130889</v>
      </c>
    </row>
    <row r="7" spans="1:15" s="17" customFormat="1" ht="42.75" x14ac:dyDescent="0.45">
      <c r="A7" s="13">
        <v>5</v>
      </c>
      <c r="B7" s="15" t="s">
        <v>19</v>
      </c>
      <c r="C7" s="16">
        <f>H27</f>
        <v>31203.599999999999</v>
      </c>
      <c r="D7" s="15" t="s">
        <v>20</v>
      </c>
      <c r="E7" s="19"/>
      <c r="F7" s="18"/>
      <c r="G7" s="13" t="s">
        <v>21</v>
      </c>
      <c r="H7" s="13">
        <f t="shared" ref="H7:O7" si="0">(H5-H6)*1.3</f>
        <v>115698.7</v>
      </c>
      <c r="I7" s="13">
        <f t="shared" si="0"/>
        <v>119743</v>
      </c>
      <c r="J7" s="13">
        <f t="shared" si="0"/>
        <v>117648.7</v>
      </c>
      <c r="K7" s="13">
        <f t="shared" si="0"/>
        <v>183298.7</v>
      </c>
      <c r="L7" s="13">
        <f t="shared" si="0"/>
        <v>202798.7</v>
      </c>
      <c r="M7" s="13">
        <f t="shared" si="0"/>
        <v>306798.7</v>
      </c>
      <c r="N7" s="13">
        <f t="shared" si="0"/>
        <v>297844.3</v>
      </c>
      <c r="O7" s="13">
        <f t="shared" si="0"/>
        <v>391298.7</v>
      </c>
    </row>
    <row r="8" spans="1:15" s="17" customFormat="1" ht="28.5" x14ac:dyDescent="0.45">
      <c r="A8" s="13">
        <v>6</v>
      </c>
      <c r="B8" s="15" t="s">
        <v>22</v>
      </c>
      <c r="C8" s="16">
        <f>0.05*(C6+C7)</f>
        <v>8845.1150000000016</v>
      </c>
      <c r="D8" s="20"/>
      <c r="E8" s="19"/>
      <c r="F8" s="18"/>
      <c r="G8" s="13" t="s">
        <v>23</v>
      </c>
      <c r="H8" s="13">
        <f>22500+7500</f>
        <v>30000</v>
      </c>
      <c r="I8" s="13">
        <v>30000</v>
      </c>
      <c r="J8" s="13">
        <v>30000</v>
      </c>
      <c r="K8" s="13">
        <v>30000</v>
      </c>
      <c r="L8" s="13">
        <v>22500</v>
      </c>
      <c r="M8" s="13">
        <v>30000</v>
      </c>
      <c r="N8" s="13">
        <v>22500</v>
      </c>
      <c r="O8" s="13">
        <v>30000</v>
      </c>
    </row>
    <row r="9" spans="1:15" s="17" customFormat="1" ht="15.75" x14ac:dyDescent="0.45">
      <c r="A9" s="21">
        <v>7</v>
      </c>
      <c r="B9" s="22" t="s">
        <v>24</v>
      </c>
      <c r="C9" s="23">
        <f>SUM(C6:C8)</f>
        <v>185747.41500000001</v>
      </c>
      <c r="D9" s="20"/>
      <c r="E9" s="19"/>
      <c r="F9" s="18"/>
      <c r="G9" s="13" t="s">
        <v>25</v>
      </c>
      <c r="H9" s="13">
        <f t="shared" ref="H9:O9" si="1">141000*1.2</f>
        <v>169200</v>
      </c>
      <c r="I9" s="13">
        <f t="shared" si="1"/>
        <v>169200</v>
      </c>
      <c r="J9" s="13">
        <f t="shared" si="1"/>
        <v>169200</v>
      </c>
      <c r="K9" s="13">
        <f t="shared" si="1"/>
        <v>169200</v>
      </c>
      <c r="L9" s="13">
        <f t="shared" si="1"/>
        <v>169200</v>
      </c>
      <c r="M9" s="13">
        <f t="shared" si="1"/>
        <v>169200</v>
      </c>
      <c r="N9" s="13">
        <f t="shared" si="1"/>
        <v>169200</v>
      </c>
      <c r="O9" s="13">
        <f t="shared" si="1"/>
        <v>169200</v>
      </c>
    </row>
    <row r="10" spans="1:15" s="17" customFormat="1" x14ac:dyDescent="0.45">
      <c r="A10" s="24"/>
      <c r="C10" s="25"/>
      <c r="E10" s="19"/>
      <c r="F10" s="18"/>
      <c r="G10" s="13" t="s">
        <v>26</v>
      </c>
      <c r="H10" s="13">
        <f t="shared" ref="H10:O10" si="2">SUM(H7:H9)</f>
        <v>314898.7</v>
      </c>
      <c r="I10" s="13">
        <f t="shared" si="2"/>
        <v>318943</v>
      </c>
      <c r="J10" s="13">
        <f t="shared" si="2"/>
        <v>316848.7</v>
      </c>
      <c r="K10" s="13">
        <f t="shared" si="2"/>
        <v>382498.7</v>
      </c>
      <c r="L10" s="13">
        <f t="shared" si="2"/>
        <v>394498.7</v>
      </c>
      <c r="M10" s="13">
        <f t="shared" si="2"/>
        <v>505998.7</v>
      </c>
      <c r="N10" s="13">
        <f t="shared" si="2"/>
        <v>489544.3</v>
      </c>
      <c r="O10" s="13">
        <f t="shared" si="2"/>
        <v>590498.69999999995</v>
      </c>
    </row>
    <row r="11" spans="1:15" s="17" customFormat="1" x14ac:dyDescent="0.45">
      <c r="A11" s="5" t="s">
        <v>1</v>
      </c>
      <c r="B11" s="6" t="s">
        <v>2</v>
      </c>
      <c r="C11" s="5" t="s">
        <v>3</v>
      </c>
      <c r="D11" s="7" t="s">
        <v>4</v>
      </c>
      <c r="E11" s="19"/>
      <c r="F11" s="18"/>
      <c r="G11" s="13" t="s">
        <v>27</v>
      </c>
      <c r="H11" s="13">
        <f t="shared" ref="H11:O11" si="3">H10*1.05</f>
        <v>330643.63500000001</v>
      </c>
      <c r="I11" s="13">
        <f t="shared" si="3"/>
        <v>334890.15000000002</v>
      </c>
      <c r="J11" s="13">
        <f t="shared" si="3"/>
        <v>332691.13500000001</v>
      </c>
      <c r="K11" s="13">
        <f t="shared" si="3"/>
        <v>401623.63500000001</v>
      </c>
      <c r="L11" s="13">
        <f t="shared" si="3"/>
        <v>414223.63500000001</v>
      </c>
      <c r="M11" s="13">
        <f t="shared" si="3"/>
        <v>531298.63500000001</v>
      </c>
      <c r="N11" s="13">
        <f t="shared" si="3"/>
        <v>514021.51500000001</v>
      </c>
      <c r="O11" s="13">
        <f t="shared" si="3"/>
        <v>620023.63500000001</v>
      </c>
    </row>
    <row r="12" spans="1:15" s="17" customFormat="1" x14ac:dyDescent="0.45">
      <c r="A12" s="10" t="s">
        <v>28</v>
      </c>
      <c r="B12" s="11"/>
      <c r="C12" s="11"/>
      <c r="D12" s="12"/>
      <c r="E12" s="19"/>
      <c r="F12" s="18"/>
      <c r="G12" s="26"/>
      <c r="H12" s="26"/>
      <c r="I12" s="26"/>
      <c r="J12" s="26"/>
      <c r="K12" s="26"/>
      <c r="L12" s="26"/>
      <c r="M12" s="26"/>
      <c r="N12" s="26"/>
      <c r="O12" s="26"/>
    </row>
    <row r="13" spans="1:15" s="17" customFormat="1" ht="42.75" x14ac:dyDescent="0.45">
      <c r="A13" s="13">
        <v>4</v>
      </c>
      <c r="B13" s="15" t="s">
        <v>16</v>
      </c>
      <c r="C13" s="16">
        <f>I7+I8</f>
        <v>149743</v>
      </c>
      <c r="D13" s="15" t="s">
        <v>17</v>
      </c>
      <c r="E13" s="19"/>
      <c r="F13" s="18"/>
      <c r="G13" s="24"/>
      <c r="H13" s="24"/>
      <c r="I13" s="24"/>
      <c r="J13" s="24"/>
      <c r="K13" s="24"/>
      <c r="L13" s="24"/>
      <c r="M13" s="24"/>
      <c r="N13" s="24"/>
      <c r="O13" s="24"/>
    </row>
    <row r="14" spans="1:15" s="17" customFormat="1" ht="42.75" x14ac:dyDescent="0.45">
      <c r="A14" s="13">
        <v>5</v>
      </c>
      <c r="B14" s="15" t="s">
        <v>29</v>
      </c>
      <c r="C14" s="16">
        <f>H27</f>
        <v>31203.599999999999</v>
      </c>
      <c r="D14" s="20"/>
      <c r="E14" s="19"/>
      <c r="F14" s="18"/>
      <c r="G14" s="24"/>
      <c r="H14" s="24"/>
      <c r="I14" s="24"/>
      <c r="J14" s="24"/>
      <c r="K14" s="24"/>
      <c r="L14" s="24"/>
      <c r="M14" s="24"/>
      <c r="N14" s="24"/>
      <c r="O14" s="24"/>
    </row>
    <row r="15" spans="1:15" s="17" customFormat="1" ht="28.5" x14ac:dyDescent="0.45">
      <c r="A15" s="13">
        <v>6</v>
      </c>
      <c r="B15" s="15" t="s">
        <v>22</v>
      </c>
      <c r="C15" s="16">
        <f>0.05*(C13+C14)</f>
        <v>9047.33</v>
      </c>
      <c r="D15" s="20"/>
      <c r="E15" s="19"/>
      <c r="F15" s="18"/>
      <c r="G15"/>
      <c r="H15" s="24"/>
      <c r="I15" s="24"/>
      <c r="J15" s="24"/>
      <c r="K15" s="24"/>
      <c r="L15" s="24"/>
      <c r="M15" s="24"/>
      <c r="N15" s="24"/>
      <c r="O15" s="24"/>
    </row>
    <row r="16" spans="1:15" s="17" customFormat="1" ht="15.75" x14ac:dyDescent="0.45">
      <c r="A16" s="21">
        <v>7</v>
      </c>
      <c r="B16" s="22" t="s">
        <v>24</v>
      </c>
      <c r="C16" s="23">
        <f>SUM(C13:C15)</f>
        <v>189993.93</v>
      </c>
      <c r="D16" s="20"/>
      <c r="E16" s="19"/>
      <c r="F16" s="18"/>
      <c r="G16" s="24"/>
      <c r="H16"/>
      <c r="I16"/>
      <c r="J16" s="24"/>
      <c r="K16" s="24"/>
      <c r="L16" s="24"/>
      <c r="M16" s="24"/>
      <c r="N16" s="24"/>
      <c r="O16" s="24"/>
    </row>
    <row r="17" spans="1:16" s="17" customFormat="1" x14ac:dyDescent="0.45">
      <c r="A17" s="1"/>
      <c r="B17"/>
      <c r="C17" s="2"/>
      <c r="D17"/>
      <c r="E17" s="19"/>
      <c r="F17" s="18"/>
      <c r="G17" s="24"/>
      <c r="H17" s="24"/>
      <c r="J17"/>
      <c r="K17"/>
      <c r="L17"/>
      <c r="M17"/>
      <c r="N17"/>
      <c r="O17"/>
    </row>
    <row r="18" spans="1:16" s="17" customFormat="1" x14ac:dyDescent="0.45">
      <c r="A18" s="5" t="s">
        <v>1</v>
      </c>
      <c r="B18" s="6" t="s">
        <v>2</v>
      </c>
      <c r="C18" s="5" t="s">
        <v>3</v>
      </c>
      <c r="D18" s="7" t="s">
        <v>4</v>
      </c>
      <c r="E18" s="19"/>
      <c r="F18" s="18"/>
      <c r="G18" s="28" t="s">
        <v>34</v>
      </c>
      <c r="H18" s="29" t="s">
        <v>35</v>
      </c>
      <c r="I18" s="30" t="s">
        <v>36</v>
      </c>
      <c r="J18" s="31"/>
      <c r="K18" s="31"/>
      <c r="L18" s="31"/>
      <c r="M18" s="31"/>
      <c r="N18" s="31"/>
      <c r="O18" s="31"/>
    </row>
    <row r="19" spans="1:16" s="17" customFormat="1" x14ac:dyDescent="0.45">
      <c r="A19" s="10" t="s">
        <v>30</v>
      </c>
      <c r="B19" s="11"/>
      <c r="C19" s="11"/>
      <c r="D19" s="12"/>
      <c r="E19" s="19"/>
      <c r="F19" s="18"/>
      <c r="G19" s="33" t="s">
        <v>38</v>
      </c>
      <c r="H19" s="33">
        <v>7270</v>
      </c>
      <c r="I19" s="33"/>
      <c r="J19" s="31"/>
      <c r="K19" s="31"/>
      <c r="L19" s="31"/>
      <c r="M19" s="31"/>
      <c r="N19" s="31"/>
      <c r="O19" s="31"/>
    </row>
    <row r="20" spans="1:16" s="17" customFormat="1" ht="42.75" x14ac:dyDescent="0.45">
      <c r="A20" s="13">
        <v>4</v>
      </c>
      <c r="B20" s="15" t="s">
        <v>16</v>
      </c>
      <c r="C20" s="16">
        <f>J7+J8</f>
        <v>147648.70000000001</v>
      </c>
      <c r="D20" s="15" t="s">
        <v>17</v>
      </c>
      <c r="E20" s="19"/>
      <c r="F20" s="18"/>
      <c r="G20" s="33"/>
      <c r="H20" s="33"/>
      <c r="I20" s="33"/>
      <c r="J20" s="31"/>
      <c r="K20" s="31"/>
      <c r="L20" s="31"/>
      <c r="M20" s="31"/>
      <c r="N20" s="31"/>
      <c r="O20" s="31"/>
    </row>
    <row r="21" spans="1:16" s="17" customFormat="1" ht="42.75" x14ac:dyDescent="0.45">
      <c r="A21" s="13">
        <v>5</v>
      </c>
      <c r="B21" s="15" t="s">
        <v>29</v>
      </c>
      <c r="C21" s="16">
        <f>H27</f>
        <v>31203.599999999999</v>
      </c>
      <c r="D21" s="20"/>
      <c r="F21" s="18"/>
      <c r="G21" s="33"/>
      <c r="H21" s="33"/>
      <c r="I21" s="33"/>
      <c r="J21" s="32"/>
      <c r="K21" s="32"/>
      <c r="L21" s="32"/>
      <c r="M21" s="32"/>
      <c r="N21" s="32"/>
      <c r="O21" s="32"/>
      <c r="P21"/>
    </row>
    <row r="22" spans="1:16" s="17" customFormat="1" ht="28.5" x14ac:dyDescent="0.45">
      <c r="A22" s="13">
        <v>6</v>
      </c>
      <c r="B22" s="15" t="s">
        <v>22</v>
      </c>
      <c r="C22" s="16">
        <f>0.05*(C20+C21)</f>
        <v>8942.6150000000016</v>
      </c>
      <c r="D22" s="20"/>
      <c r="E22" s="19"/>
      <c r="F22" s="18"/>
      <c r="G22" s="33"/>
      <c r="H22" s="33"/>
      <c r="I22" s="33"/>
      <c r="J22" s="32"/>
      <c r="K22" s="32"/>
      <c r="L22" s="32"/>
      <c r="M22" s="32"/>
      <c r="N22" s="32"/>
      <c r="O22" s="32"/>
    </row>
    <row r="23" spans="1:16" s="17" customFormat="1" ht="15.75" x14ac:dyDescent="0.45">
      <c r="A23" s="21">
        <v>7</v>
      </c>
      <c r="B23" s="22" t="s">
        <v>24</v>
      </c>
      <c r="C23" s="23">
        <f>SUM(C20:C22)</f>
        <v>187794.91500000001</v>
      </c>
      <c r="D23" s="20"/>
      <c r="E23" s="19"/>
      <c r="F23" s="18"/>
      <c r="G23" s="33" t="s">
        <v>39</v>
      </c>
      <c r="H23" s="33">
        <v>15000</v>
      </c>
      <c r="I23" s="33"/>
      <c r="J23" s="32"/>
      <c r="K23" s="32"/>
      <c r="L23" s="32"/>
      <c r="M23" s="32"/>
      <c r="N23" s="32"/>
      <c r="O23" s="32"/>
    </row>
    <row r="24" spans="1:16" s="17" customFormat="1" x14ac:dyDescent="0.45">
      <c r="A24"/>
      <c r="B24"/>
      <c r="C24" s="2"/>
      <c r="D24"/>
      <c r="E24" s="19"/>
      <c r="F24" s="18"/>
      <c r="G24" s="33"/>
      <c r="H24" s="33"/>
      <c r="I24" s="33"/>
      <c r="J24" s="32"/>
      <c r="K24" s="32"/>
      <c r="L24" s="32"/>
      <c r="M24" s="32"/>
      <c r="N24" s="32"/>
      <c r="O24" s="32"/>
    </row>
    <row r="25" spans="1:16" s="17" customFormat="1" x14ac:dyDescent="0.45">
      <c r="A25" s="5" t="s">
        <v>1</v>
      </c>
      <c r="B25" s="6" t="s">
        <v>2</v>
      </c>
      <c r="C25" s="5" t="s">
        <v>3</v>
      </c>
      <c r="D25" s="7" t="s">
        <v>4</v>
      </c>
      <c r="E25" s="19"/>
      <c r="F25" s="18"/>
      <c r="G25" s="33" t="s">
        <v>40</v>
      </c>
      <c r="H25" s="33">
        <v>3733</v>
      </c>
      <c r="I25" s="33"/>
      <c r="J25" s="32"/>
      <c r="K25" s="32"/>
      <c r="L25" s="32"/>
      <c r="M25" s="32"/>
      <c r="N25" s="32"/>
      <c r="O25" s="32"/>
    </row>
    <row r="26" spans="1:16" s="17" customFormat="1" x14ac:dyDescent="0.45">
      <c r="A26" s="10" t="s">
        <v>31</v>
      </c>
      <c r="B26" s="11"/>
      <c r="C26" s="11"/>
      <c r="D26" s="12"/>
      <c r="E26" s="19"/>
      <c r="F26" s="18"/>
      <c r="G26" s="33"/>
      <c r="H26" s="33"/>
      <c r="I26" s="33"/>
      <c r="J26" s="32"/>
      <c r="K26" s="32"/>
      <c r="L26" s="32"/>
      <c r="M26" s="32"/>
      <c r="N26" s="32"/>
      <c r="O26" s="32"/>
    </row>
    <row r="27" spans="1:16" s="17" customFormat="1" ht="42.75" x14ac:dyDescent="0.45">
      <c r="A27" s="13">
        <v>4</v>
      </c>
      <c r="B27" s="15" t="s">
        <v>16</v>
      </c>
      <c r="C27" s="16">
        <f>K7+K8</f>
        <v>213298.7</v>
      </c>
      <c r="D27" s="15" t="s">
        <v>17</v>
      </c>
      <c r="E27" s="19"/>
      <c r="F27" s="18"/>
      <c r="G27" s="13" t="s">
        <v>42</v>
      </c>
      <c r="H27" s="13">
        <f>SUM(H19:H25)*1.2</f>
        <v>31203.599999999999</v>
      </c>
      <c r="I27" s="33"/>
      <c r="J27" s="32"/>
      <c r="K27" s="32"/>
      <c r="L27" s="32"/>
      <c r="M27" s="32"/>
      <c r="N27" s="32"/>
      <c r="O27" s="32"/>
    </row>
    <row r="28" spans="1:16" ht="42.75" x14ac:dyDescent="0.45">
      <c r="A28" s="13">
        <v>5</v>
      </c>
      <c r="B28" s="15" t="s">
        <v>29</v>
      </c>
      <c r="C28" s="16">
        <f>H27</f>
        <v>31203.599999999999</v>
      </c>
      <c r="D28" s="20"/>
      <c r="E28" s="3"/>
      <c r="F28" s="4"/>
      <c r="G28" s="24"/>
      <c r="H28" s="24"/>
      <c r="I28" s="17"/>
      <c r="J28" s="32"/>
      <c r="K28" s="32"/>
      <c r="L28" s="32"/>
      <c r="M28" s="32"/>
      <c r="N28" s="32"/>
      <c r="O28" s="32"/>
    </row>
    <row r="29" spans="1:16" ht="28.5" x14ac:dyDescent="0.45">
      <c r="A29" s="13">
        <v>6</v>
      </c>
      <c r="B29" s="15" t="s">
        <v>22</v>
      </c>
      <c r="C29" s="16">
        <f>0.05*(C27+C28)</f>
        <v>12225.115000000002</v>
      </c>
      <c r="D29" s="20"/>
      <c r="E29" s="3"/>
      <c r="F29" s="4"/>
      <c r="G29" s="24"/>
      <c r="H29" s="24"/>
      <c r="I29" s="17"/>
      <c r="J29" s="17"/>
      <c r="K29" s="17"/>
      <c r="L29" s="17"/>
      <c r="M29" s="17"/>
      <c r="N29" s="17"/>
      <c r="O29" s="17"/>
    </row>
    <row r="30" spans="1:16" ht="15.75" x14ac:dyDescent="0.45">
      <c r="A30" s="21">
        <v>7</v>
      </c>
      <c r="B30" s="22" t="s">
        <v>24</v>
      </c>
      <c r="C30" s="23">
        <f>SUM(C27:C29)</f>
        <v>256727.41500000001</v>
      </c>
      <c r="D30" s="20"/>
      <c r="E30" s="3"/>
      <c r="F30" s="4"/>
      <c r="G30" s="24"/>
      <c r="H30" s="24"/>
      <c r="I30" s="17"/>
      <c r="J30" s="17"/>
      <c r="K30" s="17"/>
      <c r="L30" s="17"/>
      <c r="M30" s="17"/>
      <c r="N30" s="17"/>
      <c r="O30" s="17"/>
    </row>
    <row r="31" spans="1:16" x14ac:dyDescent="0.45">
      <c r="E31" s="3"/>
      <c r="F31" s="4"/>
      <c r="G31" s="24"/>
      <c r="H31" s="24"/>
      <c r="I31" s="17"/>
      <c r="J31" s="17"/>
      <c r="K31" s="17"/>
      <c r="L31" s="17"/>
      <c r="M31" s="17"/>
      <c r="N31" s="17"/>
      <c r="O31" s="17"/>
    </row>
    <row r="32" spans="1:16" x14ac:dyDescent="0.45">
      <c r="A32" s="5" t="s">
        <v>1</v>
      </c>
      <c r="B32" s="6" t="s">
        <v>2</v>
      </c>
      <c r="C32" s="5" t="s">
        <v>3</v>
      </c>
      <c r="D32" s="7" t="s">
        <v>4</v>
      </c>
      <c r="E32" s="3"/>
      <c r="F32" s="4"/>
      <c r="G32" s="24"/>
      <c r="H32" s="24"/>
      <c r="I32" s="17"/>
      <c r="J32" s="17"/>
      <c r="K32" s="17"/>
      <c r="L32" s="17"/>
      <c r="M32" s="17"/>
      <c r="N32" s="17"/>
      <c r="O32" s="17"/>
    </row>
    <row r="33" spans="1:9" x14ac:dyDescent="0.45">
      <c r="A33" s="10" t="s">
        <v>32</v>
      </c>
      <c r="B33" s="11"/>
      <c r="C33" s="11"/>
      <c r="D33" s="12"/>
      <c r="E33" s="3"/>
      <c r="F33" s="4"/>
      <c r="G33" s="34"/>
      <c r="H33" s="34"/>
      <c r="I33" s="34"/>
    </row>
    <row r="34" spans="1:9" ht="42.75" x14ac:dyDescent="0.45">
      <c r="A34" s="13">
        <v>4</v>
      </c>
      <c r="B34" s="15" t="s">
        <v>16</v>
      </c>
      <c r="C34" s="16">
        <f>L7+L8</f>
        <v>225298.7</v>
      </c>
      <c r="D34" s="15" t="s">
        <v>17</v>
      </c>
      <c r="E34" s="3"/>
      <c r="F34" s="4"/>
      <c r="G34" s="2"/>
      <c r="H34" s="2"/>
    </row>
    <row r="35" spans="1:9" ht="42.75" x14ac:dyDescent="0.45">
      <c r="A35" s="13">
        <v>5</v>
      </c>
      <c r="B35" s="15" t="s">
        <v>29</v>
      </c>
      <c r="C35" s="16">
        <f>H27</f>
        <v>31203.599999999999</v>
      </c>
      <c r="D35" s="20"/>
      <c r="E35" s="3"/>
      <c r="F35" s="4"/>
      <c r="G35" s="2"/>
      <c r="H35" s="2"/>
    </row>
    <row r="36" spans="1:9" ht="28.5" x14ac:dyDescent="0.45">
      <c r="A36" s="13">
        <v>6</v>
      </c>
      <c r="B36" s="15" t="s">
        <v>22</v>
      </c>
      <c r="C36" s="16">
        <f>0.05*(C34+C35)</f>
        <v>12825.115000000002</v>
      </c>
      <c r="D36" s="20"/>
      <c r="E36" s="3"/>
      <c r="F36" s="4"/>
      <c r="G36" s="2"/>
      <c r="H36" s="2"/>
    </row>
    <row r="37" spans="1:9" ht="15.75" x14ac:dyDescent="0.45">
      <c r="A37" s="21">
        <v>7</v>
      </c>
      <c r="B37" s="22" t="s">
        <v>24</v>
      </c>
      <c r="C37" s="23">
        <f>SUM(C34:C36)</f>
        <v>269327.41500000004</v>
      </c>
      <c r="D37" s="20"/>
      <c r="E37" s="3"/>
      <c r="F37" s="4"/>
      <c r="G37" s="2"/>
      <c r="H37" s="2"/>
    </row>
    <row r="38" spans="1:9" x14ac:dyDescent="0.45">
      <c r="E38" s="3"/>
      <c r="F38" s="4"/>
      <c r="G38" s="2"/>
      <c r="H38" s="2"/>
    </row>
    <row r="39" spans="1:9" x14ac:dyDescent="0.45">
      <c r="A39" s="5" t="s">
        <v>1</v>
      </c>
      <c r="B39" s="6" t="s">
        <v>2</v>
      </c>
      <c r="C39" s="5" t="s">
        <v>3</v>
      </c>
      <c r="D39" s="7" t="s">
        <v>4</v>
      </c>
      <c r="F39" s="27" t="s">
        <v>33</v>
      </c>
    </row>
    <row r="40" spans="1:9" x14ac:dyDescent="0.45">
      <c r="A40" s="10" t="s">
        <v>37</v>
      </c>
      <c r="B40" s="11"/>
      <c r="C40" s="11"/>
      <c r="D40" s="12"/>
    </row>
    <row r="41" spans="1:9" ht="42.75" x14ac:dyDescent="0.45">
      <c r="A41" s="13">
        <v>4</v>
      </c>
      <c r="B41" s="15" t="s">
        <v>16</v>
      </c>
      <c r="C41" s="16">
        <f>M7+M8</f>
        <v>336798.7</v>
      </c>
      <c r="D41" s="15" t="s">
        <v>17</v>
      </c>
    </row>
    <row r="42" spans="1:9" ht="42.75" x14ac:dyDescent="0.45">
      <c r="A42" s="13">
        <v>5</v>
      </c>
      <c r="B42" s="15" t="s">
        <v>29</v>
      </c>
      <c r="C42" s="16">
        <f>H27</f>
        <v>31203.599999999999</v>
      </c>
      <c r="D42" s="20"/>
    </row>
    <row r="43" spans="1:9" ht="28.5" x14ac:dyDescent="0.45">
      <c r="A43" s="13">
        <v>6</v>
      </c>
      <c r="B43" s="15" t="s">
        <v>22</v>
      </c>
      <c r="C43" s="16">
        <f>0.05*(C41+C42)</f>
        <v>18400.115000000002</v>
      </c>
      <c r="D43" s="20"/>
    </row>
    <row r="44" spans="1:9" ht="15.75" x14ac:dyDescent="0.45">
      <c r="A44" s="21">
        <v>7</v>
      </c>
      <c r="B44" s="22" t="s">
        <v>24</v>
      </c>
      <c r="C44" s="23">
        <f>SUM(C41:C43)</f>
        <v>386402.41499999998</v>
      </c>
      <c r="D44" s="20"/>
    </row>
    <row r="46" spans="1:9" x14ac:dyDescent="0.45">
      <c r="A46" s="5" t="s">
        <v>1</v>
      </c>
      <c r="B46" s="6" t="s">
        <v>2</v>
      </c>
      <c r="C46" s="5" t="s">
        <v>3</v>
      </c>
      <c r="D46" s="7" t="s">
        <v>4</v>
      </c>
    </row>
    <row r="47" spans="1:9" x14ac:dyDescent="0.45">
      <c r="A47" s="10" t="s">
        <v>41</v>
      </c>
      <c r="B47" s="11"/>
      <c r="C47" s="11"/>
      <c r="D47" s="12"/>
    </row>
    <row r="48" spans="1:9" ht="42.75" x14ac:dyDescent="0.45">
      <c r="A48" s="13">
        <v>4</v>
      </c>
      <c r="B48" s="15" t="s">
        <v>16</v>
      </c>
      <c r="C48" s="16">
        <f>N7+N8</f>
        <v>320344.3</v>
      </c>
      <c r="D48" s="15" t="s">
        <v>17</v>
      </c>
    </row>
    <row r="49" spans="1:4" ht="42.75" x14ac:dyDescent="0.45">
      <c r="A49" s="13">
        <v>5</v>
      </c>
      <c r="B49" s="15" t="s">
        <v>29</v>
      </c>
      <c r="C49" s="16">
        <f>H27</f>
        <v>31203.599999999999</v>
      </c>
      <c r="D49" s="20"/>
    </row>
    <row r="50" spans="1:4" ht="28.5" x14ac:dyDescent="0.45">
      <c r="A50" s="13">
        <v>6</v>
      </c>
      <c r="B50" s="15" t="s">
        <v>22</v>
      </c>
      <c r="C50" s="16">
        <f>0.05*(C48+C49)</f>
        <v>17577.395</v>
      </c>
      <c r="D50" s="20"/>
    </row>
    <row r="51" spans="1:4" ht="15.75" x14ac:dyDescent="0.45">
      <c r="A51" s="21">
        <v>7</v>
      </c>
      <c r="B51" s="22" t="s">
        <v>24</v>
      </c>
      <c r="C51" s="23">
        <f>SUM(C48:C50)</f>
        <v>369125.29499999998</v>
      </c>
      <c r="D51" s="20"/>
    </row>
    <row r="53" spans="1:4" x14ac:dyDescent="0.45">
      <c r="A53" s="5" t="s">
        <v>1</v>
      </c>
      <c r="B53" s="6" t="s">
        <v>2</v>
      </c>
      <c r="C53" s="5" t="s">
        <v>3</v>
      </c>
      <c r="D53" s="7" t="s">
        <v>4</v>
      </c>
    </row>
    <row r="54" spans="1:4" x14ac:dyDescent="0.45">
      <c r="A54" s="10" t="s">
        <v>43</v>
      </c>
      <c r="B54" s="11"/>
      <c r="C54" s="11"/>
      <c r="D54" s="12"/>
    </row>
    <row r="55" spans="1:4" ht="42.75" x14ac:dyDescent="0.45">
      <c r="A55" s="13">
        <v>4</v>
      </c>
      <c r="B55" s="15" t="s">
        <v>16</v>
      </c>
      <c r="C55" s="16">
        <f>O7+O8</f>
        <v>421298.7</v>
      </c>
      <c r="D55" s="15" t="s">
        <v>17</v>
      </c>
    </row>
    <row r="56" spans="1:4" ht="42.75" x14ac:dyDescent="0.45">
      <c r="A56" s="13">
        <v>5</v>
      </c>
      <c r="B56" s="15" t="s">
        <v>29</v>
      </c>
      <c r="C56" s="16">
        <f>H27</f>
        <v>31203.599999999999</v>
      </c>
      <c r="D56" s="20"/>
    </row>
    <row r="57" spans="1:4" ht="28.5" x14ac:dyDescent="0.45">
      <c r="A57" s="13">
        <v>6</v>
      </c>
      <c r="B57" s="15" t="s">
        <v>22</v>
      </c>
      <c r="C57" s="16">
        <f>0.05*(C55+C56)</f>
        <v>22625.115000000002</v>
      </c>
      <c r="D57" s="20"/>
    </row>
    <row r="58" spans="1:4" ht="15.75" x14ac:dyDescent="0.45">
      <c r="A58" s="21">
        <v>7</v>
      </c>
      <c r="B58" s="22" t="s">
        <v>24</v>
      </c>
      <c r="C58" s="23">
        <f>SUM(C55:C57)</f>
        <v>475127.41499999998</v>
      </c>
      <c r="D58" s="20"/>
    </row>
    <row r="109" spans="9:15" x14ac:dyDescent="0.45">
      <c r="I109" s="1"/>
      <c r="J109" s="1"/>
      <c r="K109" s="1"/>
      <c r="L109" s="1"/>
      <c r="M109" s="1"/>
      <c r="N109" s="1"/>
      <c r="O109" s="1"/>
    </row>
  </sheetData>
  <mergeCells count="9">
    <mergeCell ref="A5:D5"/>
    <mergeCell ref="H25:H26"/>
    <mergeCell ref="G33:I33"/>
    <mergeCell ref="G19:G22"/>
    <mergeCell ref="H19:H22"/>
    <mergeCell ref="I19:I27"/>
    <mergeCell ref="G23:G24"/>
    <mergeCell ref="H23:H24"/>
    <mergeCell ref="G25:G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0495-0DC8-409B-80F5-A989342ECD6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Sedan (CAT B)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sirhong ong</dc:creator>
  <cp:lastModifiedBy>sirhong ong</cp:lastModifiedBy>
  <dcterms:created xsi:type="dcterms:W3CDTF">2026-08-20T06:42:01Z</dcterms:created>
  <dcterms:modified xsi:type="dcterms:W3CDTF">2026-08-21T02:05:44Z</dcterms:modified>
</cp:coreProperties>
</file>